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Sprint 2" sheetId="1" state="visible" r:id="rId3"/>
    <sheet name="Sprint 2 Atual" sheetId="2" state="visible" r:id="rId4"/>
    <sheet name="Dashboard" sheetId="3" state="visible" r:id="rId5"/>
    <sheet name="Riscos &amp; Impedim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<sst xmlns="http://schemas.openxmlformats.org/spreadsheetml/2006/main" count="161" uniqueCount="107">
  <si>
    <t xml:space="preserve">ID</t>
  </si>
  <si>
    <t xml:space="preserve">Épico</t>
  </si>
  <si>
    <t xml:space="preserve">Story/Tarefa</t>
  </si>
  <si>
    <t xml:space="preserve">Critérios de Aceite</t>
  </si>
  <si>
    <t xml:space="preserve">Est. (SP)</t>
  </si>
  <si>
    <t xml:space="preserve">Prioridade</t>
  </si>
  <si>
    <t xml:space="preserve">Status</t>
  </si>
  <si>
    <t xml:space="preserve">Responsável</t>
  </si>
  <si>
    <t xml:space="preserve">US-01</t>
  </si>
  <si>
    <t xml:space="preserve">Agendamentos</t>
  </si>
  <si>
    <t xml:space="preserve">Criar Schema Agendamento (MongoDB)</t>
  </si>
  <si>
    <t xml:space="preserve">Schema com campos: cliente, profissional, serviço, data, hora, duração, status, preço</t>
  </si>
  <si>
    <t xml:space="preserve">Must</t>
  </si>
  <si>
    <t xml:space="preserve">A Fazer</t>
  </si>
  <si>
    <t xml:space="preserve">Backend Team</t>
  </si>
  <si>
    <t xml:space="preserve">US-02</t>
  </si>
  <si>
    <t xml:space="preserve">Criar APIs CRUD Agendamentos</t>
  </si>
  <si>
    <t xml:space="preserve">POST/GET/PUT/DELETE funcionando com validações</t>
  </si>
  <si>
    <t xml:space="preserve">US-03</t>
  </si>
  <si>
    <t xml:space="preserve">Validar Conflito de Horário</t>
  </si>
  <si>
    <t xml:space="preserve">Sistema previne agendamentos duplicados no mesmo horário</t>
  </si>
  <si>
    <t xml:space="preserve">US-04</t>
  </si>
  <si>
    <t xml:space="preserve">Criar Form de Agendamento (Frontend)</t>
  </si>
  <si>
    <t xml:space="preserve">Form com campos cliente, profissional, data, hora, serviço</t>
  </si>
  <si>
    <t xml:space="preserve">Frontend Team</t>
  </si>
  <si>
    <t xml:space="preserve">US-05</t>
  </si>
  <si>
    <t xml:space="preserve">Listar Agendamentos com Filtros</t>
  </si>
  <si>
    <t xml:space="preserve">Filtrar por data, cliente, profissional, status</t>
  </si>
  <si>
    <t xml:space="preserve">Should</t>
  </si>
  <si>
    <t xml:space="preserve">US-06</t>
  </si>
  <si>
    <t xml:space="preserve">Calendário Visual (react-big-calendar)</t>
  </si>
  <si>
    <t xml:space="preserve">Visualizar agendamentos em calendário interativo</t>
  </si>
  <si>
    <t xml:space="preserve">US-07</t>
  </si>
  <si>
    <t xml:space="preserve">Integrar com Clientes Existentes</t>
  </si>
  <si>
    <t xml:space="preserve">Linkedar agendamentos com base de clientes</t>
  </si>
  <si>
    <t xml:space="preserve">Backend+Frontend</t>
  </si>
  <si>
    <t xml:space="preserve">US-08</t>
  </si>
  <si>
    <t xml:space="preserve">Testes Unitários (Backend)</t>
  </si>
  <si>
    <t xml:space="preserve">Cobertura 80%+ das APIs de agendamento</t>
  </si>
  <si>
    <t xml:space="preserve">Could</t>
  </si>
  <si>
    <t xml:space="preserve">ID Tarefa</t>
  </si>
  <si>
    <t xml:space="preserve">Descrição</t>
  </si>
  <si>
    <t xml:space="preserve">Pontos</t>
  </si>
  <si>
    <t xml:space="preserve">% Progresso</t>
  </si>
  <si>
    <t xml:space="preserve">Impedimento?</t>
  </si>
  <si>
    <t xml:space="preserve">Data Fim Prevista</t>
  </si>
  <si>
    <t xml:space="preserve">BE-01</t>
  </si>
  <si>
    <t xml:space="preserve">Schema Agendamento + Model</t>
  </si>
  <si>
    <t xml:space="preserve">Team Backend</t>
  </si>
  <si>
    <t xml:space="preserve">Não</t>
  </si>
  <si>
    <t xml:space="preserve">BE-02</t>
  </si>
  <si>
    <t xml:space="preserve">Controllers: criar, listar, atualizar</t>
  </si>
  <si>
    <t xml:space="preserve">BE-03</t>
  </si>
  <si>
    <t xml:space="preserve">Validação: Conflito Horário</t>
  </si>
  <si>
    <t xml:space="preserve">FE-01</t>
  </si>
  <si>
    <t xml:space="preserve">Componente Form Agendamento</t>
  </si>
  <si>
    <t xml:space="preserve">Team Frontend</t>
  </si>
  <si>
    <t xml:space="preserve">FE-02</t>
  </si>
  <si>
    <t xml:space="preserve">Página Agendamentos (listagem)</t>
  </si>
  <si>
    <t xml:space="preserve">FE-03</t>
  </si>
  <si>
    <t xml:space="preserve">Integrar react-big-calendar</t>
  </si>
  <si>
    <t xml:space="preserve">INTEG-01</t>
  </si>
  <si>
    <t xml:space="preserve">Integração Frontend/Backend</t>
  </si>
  <si>
    <t xml:space="preserve">Team Full</t>
  </si>
  <si>
    <t xml:space="preserve">DASHBOARD - SPRINT 2</t>
  </si>
  <si>
    <t xml:space="preserve">Métrica</t>
  </si>
  <si>
    <t xml:space="preserve">Valor</t>
  </si>
  <si>
    <t xml:space="preserve">Total de Pontos Planejados</t>
  </si>
  <si>
    <t xml:space="preserve">Pontos Entregues</t>
  </si>
  <si>
    <t xml:space="preserve">% Conclusão</t>
  </si>
  <si>
    <t xml:space="preserve">Pontos em Progresso</t>
  </si>
  <si>
    <t xml:space="preserve">Pontos Restantes</t>
  </si>
  <si>
    <t xml:space="preserve">Velocity Estimado (SP/semana)</t>
  </si>
  <si>
    <t xml:space="preserve">Data Início</t>
  </si>
  <si>
    <t xml:space="preserve">2026-04-03</t>
  </si>
  <si>
    <t xml:space="preserve">2026-04-17</t>
  </si>
  <si>
    <t xml:space="preserve">Categoria</t>
  </si>
  <si>
    <t xml:space="preserve">Probabilidade</t>
  </si>
  <si>
    <t xml:space="preserve">Impacto</t>
  </si>
  <si>
    <t xml:space="preserve">Score</t>
  </si>
  <si>
    <t xml:space="preserve">Mitigação</t>
  </si>
  <si>
    <t xml:space="preserve">R-01</t>
  </si>
  <si>
    <t xml:space="preserve">Delay em integração de bibliotecas (react-big-calendar)</t>
  </si>
  <si>
    <t xml:space="preserve">Técnico</t>
  </si>
  <si>
    <t xml:space="preserve">Média</t>
  </si>
  <si>
    <t xml:space="preserve">Alto</t>
  </si>
  <si>
    <t xml:space="preserve">Pesquisar alternativas; começar POC cedo</t>
  </si>
  <si>
    <t xml:space="preserve">Lead Frontend</t>
  </si>
  <si>
    <t xml:space="preserve">Monitorado</t>
  </si>
  <si>
    <t xml:space="preserve">R-02</t>
  </si>
  <si>
    <t xml:space="preserve">Conflito de dados: múltiplos usuários agendando simultaneamente</t>
  </si>
  <si>
    <t xml:space="preserve">Alta</t>
  </si>
  <si>
    <t xml:space="preserve">Implementar lock otimista/pessimista no DB</t>
  </si>
  <si>
    <t xml:space="preserve">Lead Backend</t>
  </si>
  <si>
    <t xml:space="preserve">R-03</t>
  </si>
  <si>
    <t xml:space="preserve">Mudança de requisitos (horários customizados por profissional)</t>
  </si>
  <si>
    <t xml:space="preserve">Negócio</t>
  </si>
  <si>
    <t xml:space="preserve">Médio</t>
  </si>
  <si>
    <t xml:space="preserve">Manter scope claro com PO; documentar</t>
  </si>
  <si>
    <t xml:space="preserve">PO</t>
  </si>
  <si>
    <t xml:space="preserve">Aberto</t>
  </si>
  <si>
    <t xml:space="preserve">R-04</t>
  </si>
  <si>
    <t xml:space="preserve">Falta de dados de teste (clientes/profissionais/serviços)</t>
  </si>
  <si>
    <t xml:space="preserve">Pessoal</t>
  </si>
  <si>
    <t xml:space="preserve">Criar seed/fixtures de dados antes de dev</t>
  </si>
  <si>
    <t xml:space="preserve">QA Team</t>
  </si>
  <si>
    <t xml:space="preserve">Mitigado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</si>
</sst>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6B9D"/>
        <bgColor rgb="FFFF6B6B"/>
      </patternFill>
    </fill>
    <fill>
      <patternFill patternType="solid">
        <fgColor rgb="FFFFC107"/>
        <bgColor rgb="FFFF9900"/>
      </patternFill>
    </fill>
    <fill>
      <patternFill patternType="solid">
        <fgColor rgb="FF90CAF9"/>
        <bgColor rgb="FFCCCCFF"/>
      </patternFill>
    </fill>
    <fill>
      <patternFill patternType="solid">
        <fgColor rgb="FFFF6B6B"/>
        <bgColor rgb="FFFF6B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AF9"/>
      <rgbColor rgb="FFFF6B9D"/>
      <rgbColor rgb="FFCC99FF"/>
      <rgbColor rgb="FFFFCC99"/>
      <rgbColor rgb="FF4472C4"/>
      <rgbColor rgb="FF33CCCC"/>
      <rgbColor rgb="FF99CC00"/>
      <rgbColor rgb="FFFFC10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3</v>
      </c>
      <c r="F2" s="3" t="s">
        <v>12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2" t="s">
        <v>15</v>
      </c>
      <c r="B3" s="2" t="s">
        <v>9</v>
      </c>
      <c r="C3" s="2" t="s">
        <v>16</v>
      </c>
      <c r="D3" s="2" t="s">
        <v>17</v>
      </c>
      <c r="E3" s="2" t="n">
        <v>5</v>
      </c>
      <c r="F3" s="3" t="s">
        <v>12</v>
      </c>
      <c r="G3" s="2" t="s">
        <v>13</v>
      </c>
      <c r="H3" s="2" t="s">
        <v>14</v>
      </c>
    </row>
    <row r="4" customFormat="false" ht="23.85" hidden="false" customHeight="false" outlineLevel="0" collapsed="false">
      <c r="A4" s="2" t="s">
        <v>18</v>
      </c>
      <c r="B4" s="2" t="s">
        <v>9</v>
      </c>
      <c r="C4" s="2" t="s">
        <v>19</v>
      </c>
      <c r="D4" s="2" t="s">
        <v>20</v>
      </c>
      <c r="E4" s="2" t="n">
        <v>3</v>
      </c>
      <c r="F4" s="3" t="s">
        <v>12</v>
      </c>
      <c r="G4" s="2" t="s">
        <v>13</v>
      </c>
      <c r="H4" s="2" t="s">
        <v>14</v>
      </c>
    </row>
    <row r="5" customFormat="false" ht="23.85" hidden="false" customHeight="false" outlineLevel="0" collapsed="false">
      <c r="A5" s="2" t="s">
        <v>21</v>
      </c>
      <c r="B5" s="2" t="s">
        <v>9</v>
      </c>
      <c r="C5" s="2" t="s">
        <v>22</v>
      </c>
      <c r="D5" s="2" t="s">
        <v>23</v>
      </c>
      <c r="E5" s="2" t="n">
        <v>5</v>
      </c>
      <c r="F5" s="3" t="s">
        <v>12</v>
      </c>
      <c r="G5" s="2" t="s">
        <v>13</v>
      </c>
      <c r="H5" s="2" t="s">
        <v>24</v>
      </c>
    </row>
    <row r="6" customFormat="false" ht="15" hidden="false" customHeight="false" outlineLevel="0" collapsed="false">
      <c r="A6" s="2" t="s">
        <v>25</v>
      </c>
      <c r="B6" s="2" t="s">
        <v>9</v>
      </c>
      <c r="C6" s="2" t="s">
        <v>26</v>
      </c>
      <c r="D6" s="2" t="s">
        <v>27</v>
      </c>
      <c r="E6" s="2" t="n">
        <v>5</v>
      </c>
      <c r="F6" s="4" t="s">
        <v>28</v>
      </c>
      <c r="G6" s="2" t="s">
        <v>13</v>
      </c>
      <c r="H6" s="2" t="s">
        <v>24</v>
      </c>
    </row>
    <row r="7" customFormat="false" ht="23.85" hidden="false" customHeight="false" outlineLevel="0" collapsed="false">
      <c r="A7" s="2" t="s">
        <v>29</v>
      </c>
      <c r="B7" s="2" t="s">
        <v>9</v>
      </c>
      <c r="C7" s="2" t="s">
        <v>30</v>
      </c>
      <c r="D7" s="2" t="s">
        <v>31</v>
      </c>
      <c r="E7" s="2" t="n">
        <v>5</v>
      </c>
      <c r="F7" s="4" t="s">
        <v>28</v>
      </c>
      <c r="G7" s="2" t="s">
        <v>13</v>
      </c>
      <c r="H7" s="2" t="s">
        <v>24</v>
      </c>
    </row>
    <row r="8" customFormat="false" ht="23.85" hidden="false" customHeight="false" outlineLevel="0" collapsed="false">
      <c r="A8" s="2" t="s">
        <v>32</v>
      </c>
      <c r="B8" s="2" t="s">
        <v>9</v>
      </c>
      <c r="C8" s="2" t="s">
        <v>33</v>
      </c>
      <c r="D8" s="2" t="s">
        <v>34</v>
      </c>
      <c r="E8" s="2" t="n">
        <v>3</v>
      </c>
      <c r="F8" s="4" t="s">
        <v>28</v>
      </c>
      <c r="G8" s="2" t="s">
        <v>13</v>
      </c>
      <c r="H8" s="2" t="s">
        <v>35</v>
      </c>
    </row>
    <row r="9" customFormat="false" ht="15" hidden="false" customHeight="false" outlineLevel="0" collapsed="false">
      <c r="A9" s="2" t="s">
        <v>36</v>
      </c>
      <c r="B9" s="2" t="s">
        <v>9</v>
      </c>
      <c r="C9" s="2" t="s">
        <v>37</v>
      </c>
      <c r="D9" s="2" t="s">
        <v>38</v>
      </c>
      <c r="E9" s="2" t="n">
        <v>3</v>
      </c>
      <c r="F9" s="5" t="s">
        <v>39</v>
      </c>
      <c r="G9" s="2" t="s">
        <v>13</v>
      </c>
      <c r="H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7</v>
      </c>
      <c r="D1" s="1" t="s">
        <v>6</v>
      </c>
      <c r="E1" s="1" t="s">
        <v>42</v>
      </c>
      <c r="F1" s="1" t="s">
        <v>43</v>
      </c>
      <c r="G1" s="1" t="s">
        <v>44</v>
      </c>
      <c r="H1" s="1" t="s">
        <v>45</v>
      </c>
    </row>
    <row r="2" customFormat="false" ht="15" hidden="false" customHeight="false" outlineLevel="0" collapsed="false">
      <c r="A2" s="6" t="s">
        <v>46</v>
      </c>
      <c r="B2" s="6" t="s">
        <v>47</v>
      </c>
      <c r="C2" s="6" t="s">
        <v>48</v>
      </c>
      <c r="D2" s="7" t="s">
        <v>13</v>
      </c>
      <c r="E2" s="6" t="n">
        <v>3</v>
      </c>
      <c r="F2" s="8" t="n">
        <f aca="false">IF(ISBLANK(D2), 0%, 100%)</f>
        <v>1</v>
      </c>
      <c r="G2" s="6" t="s">
        <v>49</v>
      </c>
      <c r="H2" s="6"/>
    </row>
    <row r="3" customFormat="false" ht="15" hidden="false" customHeight="false" outlineLevel="0" collapsed="false">
      <c r="A3" s="6" t="s">
        <v>50</v>
      </c>
      <c r="B3" s="6" t="s">
        <v>51</v>
      </c>
      <c r="C3" s="6" t="s">
        <v>48</v>
      </c>
      <c r="D3" s="7" t="s">
        <v>13</v>
      </c>
      <c r="E3" s="6" t="n">
        <v>4</v>
      </c>
      <c r="F3" s="8" t="n">
        <f aca="false">IF(ISBLANK(D3), 0%, 100%)</f>
        <v>1</v>
      </c>
      <c r="G3" s="6" t="s">
        <v>49</v>
      </c>
      <c r="H3" s="6"/>
    </row>
    <row r="4" customFormat="false" ht="15" hidden="false" customHeight="false" outlineLevel="0" collapsed="false">
      <c r="A4" s="6" t="s">
        <v>52</v>
      </c>
      <c r="B4" s="6" t="s">
        <v>53</v>
      </c>
      <c r="C4" s="6" t="s">
        <v>48</v>
      </c>
      <c r="D4" s="7" t="s">
        <v>13</v>
      </c>
      <c r="E4" s="6" t="n">
        <v>3</v>
      </c>
      <c r="F4" s="8" t="n">
        <f aca="false">IF(ISBLANK(D4), 0%, 100%)</f>
        <v>1</v>
      </c>
      <c r="G4" s="6" t="s">
        <v>49</v>
      </c>
      <c r="H4" s="6"/>
    </row>
    <row r="5" customFormat="false" ht="15" hidden="false" customHeight="false" outlineLevel="0" collapsed="false">
      <c r="A5" s="6" t="s">
        <v>54</v>
      </c>
      <c r="B5" s="6" t="s">
        <v>55</v>
      </c>
      <c r="C5" s="6" t="s">
        <v>56</v>
      </c>
      <c r="D5" s="7" t="s">
        <v>13</v>
      </c>
      <c r="E5" s="6" t="n">
        <v>4</v>
      </c>
      <c r="F5" s="8" t="n">
        <f aca="false">IF(ISBLANK(D5), 0%, 100%)</f>
        <v>1</v>
      </c>
      <c r="G5" s="6" t="s">
        <v>49</v>
      </c>
      <c r="H5" s="6"/>
    </row>
    <row r="6" customFormat="false" ht="15" hidden="false" customHeight="false" outlineLevel="0" collapsed="false">
      <c r="A6" s="6" t="s">
        <v>57</v>
      </c>
      <c r="B6" s="6" t="s">
        <v>58</v>
      </c>
      <c r="C6" s="6" t="s">
        <v>56</v>
      </c>
      <c r="D6" s="7" t="s">
        <v>13</v>
      </c>
      <c r="E6" s="6" t="n">
        <v>5</v>
      </c>
      <c r="F6" s="8" t="n">
        <f aca="false">IF(ISBLANK(D6), 0%, 100%)</f>
        <v>1</v>
      </c>
      <c r="G6" s="6" t="s">
        <v>49</v>
      </c>
      <c r="H6" s="6"/>
    </row>
    <row r="7" customFormat="false" ht="15" hidden="false" customHeight="false" outlineLevel="0" collapsed="false">
      <c r="A7" s="6" t="s">
        <v>59</v>
      </c>
      <c r="B7" s="6" t="s">
        <v>60</v>
      </c>
      <c r="C7" s="6" t="s">
        <v>56</v>
      </c>
      <c r="D7" s="7" t="s">
        <v>13</v>
      </c>
      <c r="E7" s="6" t="n">
        <v>4</v>
      </c>
      <c r="F7" s="8" t="n">
        <f aca="false">IF(ISBLANK(D7), 0%, 100%)</f>
        <v>1</v>
      </c>
      <c r="G7" s="6" t="s">
        <v>49</v>
      </c>
      <c r="H7" s="6"/>
    </row>
    <row r="8" customFormat="false" ht="15" hidden="false" customHeight="false" outlineLevel="0" collapsed="false">
      <c r="A8" s="6" t="s">
        <v>61</v>
      </c>
      <c r="B8" s="6" t="s">
        <v>62</v>
      </c>
      <c r="C8" s="6" t="s">
        <v>63</v>
      </c>
      <c r="D8" s="7" t="s">
        <v>13</v>
      </c>
      <c r="E8" s="6" t="n">
        <v>3</v>
      </c>
      <c r="F8" s="8" t="n">
        <f aca="false">IF(ISBLANK(D8), 0%, 100%)</f>
        <v>1</v>
      </c>
      <c r="G8" s="6" t="s">
        <v>49</v>
      </c>
      <c r="H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9" t="s">
        <v>64</v>
      </c>
      <c r="B1" s="9"/>
    </row>
    <row r="3" customFormat="false" ht="15" hidden="false" customHeight="false" outlineLevel="0" collapsed="false">
      <c r="A3" s="10" t="s">
        <v>65</v>
      </c>
      <c r="B3" s="10" t="s">
        <v>66</v>
      </c>
    </row>
    <row r="4" customFormat="false" ht="15" hidden="false" customHeight="false" outlineLevel="0" collapsed="false">
      <c r="A4" s="0" t="s">
        <v>67</v>
      </c>
      <c r="B4" s="11" t="n">
        <v>34</v>
      </c>
    </row>
    <row r="5" customFormat="false" ht="15" hidden="false" customHeight="false" outlineLevel="0" collapsed="false">
      <c r="A5" s="0" t="s">
        <v>68</v>
      </c>
      <c r="B5" s="11" t="n">
        <v>0</v>
      </c>
    </row>
    <row r="6" customFormat="false" ht="15" hidden="false" customHeight="false" outlineLevel="0" collapsed="false">
      <c r="A6" s="0" t="s">
        <v>69</v>
      </c>
      <c r="B6" s="11" t="n">
        <f aca="false">B5/B4</f>
        <v>0</v>
      </c>
    </row>
    <row r="7" customFormat="false" ht="15" hidden="false" customHeight="false" outlineLevel="0" collapsed="false">
      <c r="A7" s="0" t="s">
        <v>70</v>
      </c>
      <c r="B7" s="11" t="n">
        <v>0</v>
      </c>
    </row>
    <row r="8" customFormat="false" ht="15" hidden="false" customHeight="false" outlineLevel="0" collapsed="false">
      <c r="A8" s="0" t="s">
        <v>71</v>
      </c>
      <c r="B8" s="11" t="n">
        <f aca="false">B4-B5</f>
        <v>34</v>
      </c>
    </row>
    <row r="9" customFormat="false" ht="15" hidden="false" customHeight="false" outlineLevel="0" collapsed="false">
      <c r="A9" s="0" t="s">
        <v>72</v>
      </c>
      <c r="B9" s="11" t="n">
        <v>8</v>
      </c>
    </row>
    <row r="10" customFormat="false" ht="15" hidden="false" customHeight="false" outlineLevel="0" collapsed="false">
      <c r="A10" s="0" t="s">
        <v>73</v>
      </c>
      <c r="B10" s="11" t="s">
        <v>74</v>
      </c>
    </row>
    <row r="11" customFormat="false" ht="15" hidden="false" customHeight="false" outlineLevel="0" collapsed="false">
      <c r="A11" s="0" t="s">
        <v>45</v>
      </c>
      <c r="B11" s="11" t="s">
        <v>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35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41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7</v>
      </c>
      <c r="I1" s="1" t="s">
        <v>6</v>
      </c>
    </row>
    <row r="2" customFormat="false" ht="23.85" hidden="false" customHeight="false" outlineLevel="0" collapsed="false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tr">
        <f aca="false">IF(AND(C2="Média", D2="Alto"), 6, "")</f>
        <v/>
      </c>
      <c r="G2" s="2" t="s">
        <v>86</v>
      </c>
      <c r="H2" s="2" t="s">
        <v>87</v>
      </c>
      <c r="I2" s="2" t="s">
        <v>88</v>
      </c>
    </row>
    <row r="3" customFormat="false" ht="23.85" hidden="false" customHeight="false" outlineLevel="0" collapsed="false">
      <c r="A3" s="2" t="s">
        <v>89</v>
      </c>
      <c r="B3" s="2" t="s">
        <v>90</v>
      </c>
      <c r="C3" s="2" t="s">
        <v>83</v>
      </c>
      <c r="D3" s="2" t="s">
        <v>91</v>
      </c>
      <c r="E3" s="2" t="s">
        <v>85</v>
      </c>
      <c r="F3" s="2" t="str">
        <f aca="false">IF(AND(C3="Alta", D3="Alto"), 9, "")</f>
        <v/>
      </c>
      <c r="G3" s="2" t="s">
        <v>92</v>
      </c>
      <c r="H3" s="2" t="s">
        <v>93</v>
      </c>
      <c r="I3" s="2" t="s">
        <v>88</v>
      </c>
    </row>
    <row r="4" customFormat="false" ht="23.85" hidden="false" customHeight="false" outlineLevel="0" collapsed="false">
      <c r="A4" s="2" t="s">
        <v>94</v>
      </c>
      <c r="B4" s="2" t="s">
        <v>95</v>
      </c>
      <c r="C4" s="2" t="s">
        <v>96</v>
      </c>
      <c r="D4" s="2" t="s">
        <v>84</v>
      </c>
      <c r="E4" s="2" t="s">
        <v>97</v>
      </c>
      <c r="F4" s="2" t="str">
        <f aca="false">IF(AND(C4="Média", D4="Médio"), 4, "")</f>
        <v/>
      </c>
      <c r="G4" s="2" t="s">
        <v>98</v>
      </c>
      <c r="H4" s="2" t="s">
        <v>99</v>
      </c>
      <c r="I4" s="2" t="s">
        <v>100</v>
      </c>
    </row>
    <row r="5" customFormat="false" ht="23.85" hidden="false" customHeight="false" outlineLevel="0" collapsed="false">
      <c r="A5" s="2" t="s">
        <v>101</v>
      </c>
      <c r="B5" s="2" t="s">
        <v>102</v>
      </c>
      <c r="C5" s="2" t="s">
        <v>103</v>
      </c>
      <c r="D5" s="2" t="s">
        <v>91</v>
      </c>
      <c r="E5" s="2" t="s">
        <v>97</v>
      </c>
      <c r="F5" s="2" t="str">
        <f aca="false">IF(AND(C5="Alta", D5="Médio"), 6, "")</f>
        <v/>
      </c>
      <c r="G5" s="2" t="s">
        <v>104</v>
      </c>
      <c r="H5" s="2" t="s">
        <v>105</v>
      </c>
      <c r="I5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2026-04-03T23:53:40Z</dcterms:created>
  <dc:creator>openpyxl</dc:creator>
  <dc:description/>
  <dc:language>en-US</dc:language>
  <cp:lastModifiedBy/>
  <dcterms:modified xsi:type="dcterms:W3CDTF">2026-04-03T23:53:40Z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